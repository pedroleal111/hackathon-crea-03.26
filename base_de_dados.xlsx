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ropbox\DROP BOX RICARDO\ORÇAMENTOMODELO\"/>
    </mc:Choice>
  </mc:AlternateContent>
  <xr:revisionPtr revIDLastSave="0" documentId="8_{4E77CF69-8BAF-4D8B-B276-2D19133B0C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9" l="1"/>
  <c r="V3" i="9"/>
  <c r="V4" i="9"/>
  <c r="V5" i="9"/>
  <c r="V2" i="9"/>
  <c r="Q3" i="9"/>
  <c r="Q4" i="9"/>
  <c r="Q5" i="9"/>
  <c r="L3" i="9"/>
  <c r="L4" i="9"/>
  <c r="L5" i="9"/>
  <c r="L2" i="9"/>
  <c r="G3" i="9"/>
  <c r="G4" i="9"/>
  <c r="G5" i="9"/>
  <c r="Q2" i="9"/>
  <c r="G2" i="9"/>
</calcChain>
</file>

<file path=xl/sharedStrings.xml><?xml version="1.0" encoding="utf-8"?>
<sst xmlns="http://schemas.openxmlformats.org/spreadsheetml/2006/main" count="70" uniqueCount="42">
  <si>
    <t>nome_servico</t>
  </si>
  <si>
    <t>un_servico</t>
  </si>
  <si>
    <t>nome_mao_de_obra_1</t>
  </si>
  <si>
    <t>un_mo_1</t>
  </si>
  <si>
    <t>consumo_mo1</t>
  </si>
  <si>
    <t>preco_mo1</t>
  </si>
  <si>
    <t>preco_total_mo1</t>
  </si>
  <si>
    <t>nome_mao_de_obra_2</t>
  </si>
  <si>
    <t>un_mo_2</t>
  </si>
  <si>
    <t>consumo_mo2</t>
  </si>
  <si>
    <t>preco_un_mo2</t>
  </si>
  <si>
    <t>preco_total_mo2</t>
  </si>
  <si>
    <t>nome_material_1</t>
  </si>
  <si>
    <t>un_material_1</t>
  </si>
  <si>
    <t>consumo_material_1</t>
  </si>
  <si>
    <t>preco_unit_material_1</t>
  </si>
  <si>
    <t>preco_total_material_1</t>
  </si>
  <si>
    <t>nome_material_2</t>
  </si>
  <si>
    <t>un_material_2</t>
  </si>
  <si>
    <t>consumo_material_2</t>
  </si>
  <si>
    <t>preco_unit_material_2</t>
  </si>
  <si>
    <t>preco_total_material_2</t>
  </si>
  <si>
    <t>nome_material_3</t>
  </si>
  <si>
    <t>un_material_3</t>
  </si>
  <si>
    <t>consumo_material_3</t>
  </si>
  <si>
    <t>preco_unit_material_3</t>
  </si>
  <si>
    <t>preco_total_material_3</t>
  </si>
  <si>
    <t>preco_unitario_do_servico</t>
  </si>
  <si>
    <t>Alvenaria de bloco cerâmico 6 furos 9x14x19 1/2vez</t>
  </si>
  <si>
    <t>m²</t>
  </si>
  <si>
    <t>servente</t>
  </si>
  <si>
    <t>h</t>
  </si>
  <si>
    <t>pedreiro</t>
  </si>
  <si>
    <t>Areia lavada tipo média</t>
  </si>
  <si>
    <t>m³</t>
  </si>
  <si>
    <t>Cimento Portland CP II-E-32 (resistência: 32,00 MPa)</t>
  </si>
  <si>
    <t>kg</t>
  </si>
  <si>
    <t>Bloco cerâmico furado de vedação 9x14x19</t>
  </si>
  <si>
    <t>unid</t>
  </si>
  <si>
    <t>Piso cimentado com argamassa de cimento e areia sem peneirar, traço 1:4,  e = 1,5 cm</t>
  </si>
  <si>
    <t>Reboco para parede interna ou externa, com argamassa de cimento e areia, 1:5 e=20mm</t>
  </si>
  <si>
    <t>Emboço para parede interna ou externa, com argamassa de cimento e areia, 1:4 e=20mm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</si>
</sst>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A05E-4043-44BC-9347-B20B6942CAAE}">
  <dimension ref="A1:AB5"/>
  <sheetViews>
    <sheetView tabSelected="1" topLeftCell="T1" workbookViewId="0">
      <selection activeCell="AB2" sqref="AB2:AB5"/>
    </sheetView>
  </sheetViews>
  <sheetFormatPr defaultRowHeight="15"/>
  <cols>
    <col min="1" max="1" width="78.42578125" style="2" bestFit="1" customWidth="1"/>
    <col min="2" max="2" width="10.28515625" style="2" bestFit="1" customWidth="1"/>
    <col min="3" max="3" width="21.28515625" style="2" bestFit="1" customWidth="1"/>
    <col min="4" max="4" width="21.28515625" style="2" customWidth="1"/>
    <col min="5" max="5" width="7" style="2" bestFit="1" customWidth="1"/>
    <col min="6" max="6" width="10.85546875" style="2" bestFit="1" customWidth="1"/>
    <col min="7" max="7" width="16" style="2" bestFit="1" customWidth="1"/>
    <col min="8" max="8" width="10.5703125" style="2" bestFit="1" customWidth="1"/>
    <col min="9" max="9" width="10.5703125" style="2" customWidth="1"/>
    <col min="10" max="10" width="7" style="2" bestFit="1" customWidth="1"/>
    <col min="11" max="11" width="14.140625" style="2" bestFit="1" customWidth="1"/>
    <col min="12" max="12" width="16" style="2" bestFit="1" customWidth="1"/>
    <col min="13" max="13" width="21.28515625" style="2" bestFit="1" customWidth="1"/>
    <col min="14" max="14" width="13.5703125" style="2" bestFit="1" customWidth="1"/>
    <col min="15" max="15" width="19.28515625" style="2" bestFit="1" customWidth="1"/>
    <col min="16" max="16" width="20.85546875" style="2" bestFit="1" customWidth="1"/>
    <col min="17" max="17" width="21.42578125" style="2" bestFit="1" customWidth="1"/>
    <col min="18" max="18" width="26.140625" style="2" customWidth="1"/>
    <col min="19" max="19" width="13.5703125" style="2" bestFit="1" customWidth="1"/>
    <col min="20" max="20" width="19.28515625" style="2" bestFit="1" customWidth="1"/>
    <col min="21" max="21" width="20.85546875" style="2" bestFit="1" customWidth="1"/>
    <col min="22" max="22" width="21.42578125" style="2" bestFit="1" customWidth="1"/>
    <col min="23" max="23" width="16.42578125" style="2" bestFit="1" customWidth="1"/>
    <col min="24" max="24" width="13.5703125" style="2" bestFit="1" customWidth="1"/>
    <col min="25" max="25" width="19.28515625" style="2" bestFit="1" customWidth="1"/>
    <col min="26" max="26" width="20.85546875" style="2" bestFit="1" customWidth="1"/>
    <col min="27" max="27" width="21.42578125" style="2" bestFit="1" customWidth="1"/>
    <col min="28" max="28" width="20" style="2" customWidth="1"/>
    <col min="29" max="16384" width="9.140625" style="2"/>
  </cols>
  <sheetData>
    <row r="1" spans="1:28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45.75">
      <c r="A2" s="1" t="s">
        <v>28</v>
      </c>
      <c r="B2" s="1" t="s">
        <v>29</v>
      </c>
      <c r="C2" s="1" t="s">
        <v>30</v>
      </c>
      <c r="D2" s="1" t="s">
        <v>31</v>
      </c>
      <c r="E2" s="2">
        <v>1.1100000000000001</v>
      </c>
      <c r="F2" s="3">
        <v>7.14</v>
      </c>
      <c r="G2" s="3">
        <f>E2*F2</f>
        <v>7.9254000000000007</v>
      </c>
      <c r="H2" s="2" t="s">
        <v>32</v>
      </c>
      <c r="I2" s="2" t="s">
        <v>31</v>
      </c>
      <c r="J2" s="2">
        <v>1</v>
      </c>
      <c r="K2" s="3">
        <v>10</v>
      </c>
      <c r="L2" s="3">
        <f>K2*J2</f>
        <v>10</v>
      </c>
      <c r="M2" s="2" t="s">
        <v>33</v>
      </c>
      <c r="N2" s="2" t="s">
        <v>34</v>
      </c>
      <c r="O2" s="2">
        <v>1.34E-2</v>
      </c>
      <c r="P2" s="3">
        <v>60</v>
      </c>
      <c r="Q2" s="3">
        <f>O2*P2</f>
        <v>0.80400000000000005</v>
      </c>
      <c r="R2" s="2" t="s">
        <v>35</v>
      </c>
      <c r="S2" s="2" t="s">
        <v>36</v>
      </c>
      <c r="T2" s="2">
        <v>3.2</v>
      </c>
      <c r="U2" s="3">
        <v>0.55000000000000004</v>
      </c>
      <c r="V2" s="3">
        <f>U2*T2</f>
        <v>1.7600000000000002</v>
      </c>
      <c r="W2" s="2" t="s">
        <v>37</v>
      </c>
      <c r="X2" s="2" t="s">
        <v>38</v>
      </c>
      <c r="Y2" s="2">
        <v>34</v>
      </c>
      <c r="Z2" s="3">
        <v>0.31</v>
      </c>
      <c r="AA2" s="3">
        <f>Z2*Y2</f>
        <v>10.54</v>
      </c>
      <c r="AB2" s="3">
        <v>58.39</v>
      </c>
    </row>
    <row r="3" spans="1:28" ht="30.75">
      <c r="A3" s="2" t="s">
        <v>39</v>
      </c>
      <c r="B3" s="2" t="s">
        <v>29</v>
      </c>
      <c r="C3" s="2" t="s">
        <v>30</v>
      </c>
      <c r="D3" s="2" t="s">
        <v>31</v>
      </c>
      <c r="E3" s="2">
        <v>1.1499999999999999</v>
      </c>
      <c r="F3" s="3">
        <v>7.14</v>
      </c>
      <c r="G3" s="3">
        <f t="shared" ref="G3:G5" si="0">E3*F3</f>
        <v>8.2109999999999985</v>
      </c>
      <c r="H3" s="2" t="s">
        <v>32</v>
      </c>
      <c r="I3" s="2" t="s">
        <v>31</v>
      </c>
      <c r="J3" s="2">
        <v>1</v>
      </c>
      <c r="K3" s="3">
        <v>10</v>
      </c>
      <c r="L3" s="3">
        <f t="shared" ref="L3:L5" si="1">K3*J3</f>
        <v>10</v>
      </c>
      <c r="M3" s="2" t="s">
        <v>33</v>
      </c>
      <c r="N3" s="2" t="s">
        <v>34</v>
      </c>
      <c r="O3" s="2">
        <v>1.83E-2</v>
      </c>
      <c r="P3" s="3">
        <v>60</v>
      </c>
      <c r="Q3" s="3">
        <f t="shared" ref="Q3:Q5" si="2">O3*P3</f>
        <v>1.0980000000000001</v>
      </c>
      <c r="R3" s="2" t="s">
        <v>35</v>
      </c>
      <c r="S3" s="2" t="s">
        <v>36</v>
      </c>
      <c r="T3" s="2">
        <v>5.4749999999999996</v>
      </c>
      <c r="U3" s="3">
        <v>0.55000000000000004</v>
      </c>
      <c r="V3" s="3">
        <f t="shared" ref="V3:V5" si="3">U3*T3</f>
        <v>3.01125</v>
      </c>
      <c r="AB3" s="3">
        <v>47.82</v>
      </c>
    </row>
    <row r="4" spans="1:28" ht="30.75">
      <c r="A4" s="2" t="s">
        <v>40</v>
      </c>
      <c r="B4" s="2" t="s">
        <v>29</v>
      </c>
      <c r="C4" s="2" t="s">
        <v>30</v>
      </c>
      <c r="D4" s="2" t="s">
        <v>31</v>
      </c>
      <c r="E4" s="2">
        <v>0.74</v>
      </c>
      <c r="F4" s="3">
        <v>7.14</v>
      </c>
      <c r="G4" s="3">
        <f t="shared" si="0"/>
        <v>5.2835999999999999</v>
      </c>
      <c r="H4" s="2" t="s">
        <v>32</v>
      </c>
      <c r="I4" s="2" t="s">
        <v>31</v>
      </c>
      <c r="J4" s="2">
        <v>0.74</v>
      </c>
      <c r="K4" s="3">
        <v>10</v>
      </c>
      <c r="L4" s="3">
        <f t="shared" si="1"/>
        <v>7.4</v>
      </c>
      <c r="M4" s="2" t="s">
        <v>33</v>
      </c>
      <c r="N4" s="2" t="s">
        <v>34</v>
      </c>
      <c r="O4" s="2">
        <v>2.4309999999999998E-2</v>
      </c>
      <c r="P4" s="3">
        <v>60</v>
      </c>
      <c r="Q4" s="3">
        <f t="shared" si="2"/>
        <v>1.4585999999999999</v>
      </c>
      <c r="R4" s="2" t="s">
        <v>35</v>
      </c>
      <c r="S4" s="2" t="s">
        <v>36</v>
      </c>
      <c r="T4" s="2">
        <v>9.7200000000000006</v>
      </c>
      <c r="U4" s="3">
        <v>0.55000000000000004</v>
      </c>
      <c r="V4" s="3">
        <f t="shared" si="3"/>
        <v>5.346000000000001</v>
      </c>
      <c r="AB4" s="3">
        <v>34.630000000000003</v>
      </c>
    </row>
    <row r="5" spans="1:28" ht="30.75">
      <c r="A5" s="2" t="s">
        <v>41</v>
      </c>
      <c r="B5" s="2" t="s">
        <v>29</v>
      </c>
      <c r="C5" s="2" t="s">
        <v>30</v>
      </c>
      <c r="D5" s="2" t="s">
        <v>31</v>
      </c>
      <c r="E5" s="2">
        <v>0.74</v>
      </c>
      <c r="F5" s="3">
        <v>7.14</v>
      </c>
      <c r="G5" s="3">
        <f t="shared" si="0"/>
        <v>5.2835999999999999</v>
      </c>
      <c r="H5" s="2" t="s">
        <v>32</v>
      </c>
      <c r="I5" s="2" t="s">
        <v>31</v>
      </c>
      <c r="J5" s="2">
        <v>0.74</v>
      </c>
      <c r="K5" s="3">
        <v>10</v>
      </c>
      <c r="L5" s="3">
        <f t="shared" si="1"/>
        <v>7.4</v>
      </c>
      <c r="M5" s="2" t="s">
        <v>33</v>
      </c>
      <c r="N5" s="2" t="s">
        <v>34</v>
      </c>
      <c r="O5" s="2">
        <v>2.4400000000000002E-2</v>
      </c>
      <c r="P5" s="3">
        <v>60</v>
      </c>
      <c r="Q5" s="3">
        <f t="shared" si="2"/>
        <v>1.4640000000000002</v>
      </c>
      <c r="R5" s="2" t="s">
        <v>35</v>
      </c>
      <c r="S5" s="2" t="s">
        <v>36</v>
      </c>
      <c r="T5" s="2">
        <v>5.84</v>
      </c>
      <c r="U5" s="3">
        <v>0.55000000000000004</v>
      </c>
      <c r="V5" s="3">
        <f t="shared" si="3"/>
        <v>3.2120000000000002</v>
      </c>
      <c r="AB5" s="3">
        <v>38.229999999999997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MOACYR</dc:creator>
  <cp:keywords/>
  <dc:description/>
  <cp:lastModifiedBy/>
  <cp:revision/>
  <dcterms:created xsi:type="dcterms:W3CDTF">2011-03-19T19:27:05Z</dcterms:created>
  <dcterms:modified xsi:type="dcterms:W3CDTF">2026-03-28T22:15:27Z</dcterms:modified>
  <cp:category/>
  <cp:contentStatus/>
</cp:coreProperties>
</file>