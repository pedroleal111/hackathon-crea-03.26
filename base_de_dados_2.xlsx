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ropbox\DROP BOX RICARDO\ORÇAMENTOMODELO\"/>
    </mc:Choice>
  </mc:AlternateContent>
  <xr:revisionPtr revIDLastSave="130" documentId="8_{4E77CF69-8BAF-4D8B-B276-2D19133B0CC8}" xr6:coauthVersionLast="47" xr6:coauthVersionMax="47" xr10:uidLastSave="{C2B1AAEE-72A4-4CC1-A1AE-6249B33BCDE0}"/>
  <bookViews>
    <workbookView xWindow="-108" yWindow="-108" windowWidth="23256" windowHeight="12576" activeTab="1" xr2:uid="{00000000-000D-0000-FFFF-FFFF00000000}"/>
  </bookViews>
  <sheets>
    <sheet name="Planilha1" sheetId="9" r:id="rId1"/>
    <sheet name="SINAPI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9" l="1"/>
  <c r="V4" i="9"/>
  <c r="V3" i="9"/>
  <c r="V2" i="9"/>
  <c r="AA5" i="9"/>
  <c r="AA4" i="9"/>
  <c r="AA3" i="9"/>
  <c r="AA2" i="9"/>
  <c r="Q5" i="9"/>
  <c r="Q4" i="9"/>
  <c r="Q3" i="9"/>
  <c r="Q2" i="9"/>
  <c r="AF5" i="9"/>
  <c r="AF4" i="9"/>
  <c r="AF3" i="9"/>
  <c r="AF2" i="9"/>
  <c r="AU2" i="9"/>
  <c r="AP3" i="9"/>
  <c r="AP4" i="9"/>
  <c r="AP5" i="9"/>
  <c r="AP2" i="9"/>
  <c r="AK3" i="9"/>
  <c r="AK4" i="9"/>
  <c r="AK5" i="9"/>
  <c r="L3" i="9"/>
  <c r="L4" i="9"/>
  <c r="L5" i="9"/>
  <c r="L2" i="9"/>
  <c r="G3" i="9"/>
  <c r="G4" i="9"/>
  <c r="G5" i="9"/>
  <c r="AK2" i="9"/>
  <c r="G2" i="9"/>
</calcChain>
</file>

<file path=xl/sharedStrings.xml><?xml version="1.0" encoding="utf-8"?>
<sst xmlns="http://schemas.openxmlformats.org/spreadsheetml/2006/main" count="183" uniqueCount="121">
  <si>
    <t>nome_servico</t>
  </si>
  <si>
    <t>un_servico</t>
  </si>
  <si>
    <t>nome_mao_de_obra_1</t>
  </si>
  <si>
    <t>un_mo_1</t>
  </si>
  <si>
    <t>consumo_mo1</t>
  </si>
  <si>
    <t>preco_mo1</t>
  </si>
  <si>
    <t>preco_total_mo1</t>
  </si>
  <si>
    <t>nome_mao_de_obra_2</t>
  </si>
  <si>
    <t>un_mo_2</t>
  </si>
  <si>
    <t>consumo_mo2</t>
  </si>
  <si>
    <t>preco_un_mo2</t>
  </si>
  <si>
    <t>preco_total_mo2</t>
  </si>
  <si>
    <t>nome_mao_de_obra_3</t>
  </si>
  <si>
    <t>un_mo_3</t>
  </si>
  <si>
    <t>consumo_mo3</t>
  </si>
  <si>
    <t>preco_un_mo3</t>
  </si>
  <si>
    <t>preco_total_mo3</t>
  </si>
  <si>
    <t>nome_mao_de_obra_4</t>
  </si>
  <si>
    <t>un_mo_4</t>
  </si>
  <si>
    <t>consumo_mo4</t>
  </si>
  <si>
    <t>preco_un_mo4</t>
  </si>
  <si>
    <t>preco_total_mo4</t>
  </si>
  <si>
    <t>nome_mao_de_obra_5</t>
  </si>
  <si>
    <t>un_mo_5</t>
  </si>
  <si>
    <t>consumo_mo5</t>
  </si>
  <si>
    <t>preco_un_mo5</t>
  </si>
  <si>
    <t>preco_total_mo5</t>
  </si>
  <si>
    <t>nome_mao_de_obra_6</t>
  </si>
  <si>
    <t>un_mo_6</t>
  </si>
  <si>
    <t>consumo_mo6</t>
  </si>
  <si>
    <t>preco_un_mo6</t>
  </si>
  <si>
    <t>preco_total_mo6</t>
  </si>
  <si>
    <t>nome_material_1</t>
  </si>
  <si>
    <t>un_material_1</t>
  </si>
  <si>
    <t>consumo_material_1</t>
  </si>
  <si>
    <t>preco_unit_material_1</t>
  </si>
  <si>
    <t>preco_total_material_1</t>
  </si>
  <si>
    <t>nome_material_2</t>
  </si>
  <si>
    <t>un_material_2</t>
  </si>
  <si>
    <t>consumo_material_2</t>
  </si>
  <si>
    <t>preco_unit_material_2</t>
  </si>
  <si>
    <t>preco_total_material_2</t>
  </si>
  <si>
    <t>nome_material_3</t>
  </si>
  <si>
    <t>un_material_3</t>
  </si>
  <si>
    <t>consumo_material_3</t>
  </si>
  <si>
    <t>preco_unit_material_3</t>
  </si>
  <si>
    <t>preco_total_material_3</t>
  </si>
  <si>
    <t>nome_material_4</t>
  </si>
  <si>
    <t>un_material_4</t>
  </si>
  <si>
    <t>consumo_material_4</t>
  </si>
  <si>
    <t>preco_unit_material_4</t>
  </si>
  <si>
    <t>preco_total_material_4</t>
  </si>
  <si>
    <t>nome_material_5</t>
  </si>
  <si>
    <t>un_material_5</t>
  </si>
  <si>
    <t>consumo_material_5</t>
  </si>
  <si>
    <t>preco_unit_material_5</t>
  </si>
  <si>
    <t>preco_total_material_5</t>
  </si>
  <si>
    <t>nome_material_6</t>
  </si>
  <si>
    <t>un_material_6</t>
  </si>
  <si>
    <t>consumo_material_6</t>
  </si>
  <si>
    <t>preco_unit_material_6</t>
  </si>
  <si>
    <t>preco_total_material_6</t>
  </si>
  <si>
    <t>nome_material_7</t>
  </si>
  <si>
    <t>un_material_7</t>
  </si>
  <si>
    <t>consumo_material_7</t>
  </si>
  <si>
    <t>preco_unit_material_7</t>
  </si>
  <si>
    <t>preco_total_material_7</t>
  </si>
  <si>
    <t>nome_material_8</t>
  </si>
  <si>
    <t>un_material_8</t>
  </si>
  <si>
    <t>consumo_material_8</t>
  </si>
  <si>
    <t>preco_unit_material_8</t>
  </si>
  <si>
    <t>preco_total_material_8</t>
  </si>
  <si>
    <t>nome_material_9</t>
  </si>
  <si>
    <t>un_material_9</t>
  </si>
  <si>
    <t>consumo_material_9</t>
  </si>
  <si>
    <t>preco_unit_material_9</t>
  </si>
  <si>
    <t>preco_total_material_9</t>
  </si>
  <si>
    <t>nome_material_10</t>
  </si>
  <si>
    <t>un_material_10</t>
  </si>
  <si>
    <t>consumo_material_10</t>
  </si>
  <si>
    <t>preco_unit_material_10</t>
  </si>
  <si>
    <t>preco_total_material_10</t>
  </si>
  <si>
    <t>nome_material_11</t>
  </si>
  <si>
    <t>un_material_11</t>
  </si>
  <si>
    <t>consumo_material_11</t>
  </si>
  <si>
    <t>preco_unit_material_11</t>
  </si>
  <si>
    <t>preco_total_material_11</t>
  </si>
  <si>
    <t>nome_material_12</t>
  </si>
  <si>
    <t>un_material_12</t>
  </si>
  <si>
    <t>consumo_material_12</t>
  </si>
  <si>
    <t>preco_unit_material_12</t>
  </si>
  <si>
    <t>preco_total_material_12</t>
  </si>
  <si>
    <t>nome_material_13</t>
  </si>
  <si>
    <t>un_material_13</t>
  </si>
  <si>
    <t>consumo_material_13</t>
  </si>
  <si>
    <t>preco_unit_material_13</t>
  </si>
  <si>
    <t>preco_total_material_13</t>
  </si>
  <si>
    <t>nome_material_14</t>
  </si>
  <si>
    <t>un_material_14</t>
  </si>
  <si>
    <t>consumo_material_14</t>
  </si>
  <si>
    <t>preco_total_material_14</t>
  </si>
  <si>
    <t>nome_material_15</t>
  </si>
  <si>
    <t>un_material_15</t>
  </si>
  <si>
    <t>consumo_material_15</t>
  </si>
  <si>
    <t>preco_unit_material_15</t>
  </si>
  <si>
    <t>preco_total_material_15</t>
  </si>
  <si>
    <t>preco_unitario_do_servico</t>
  </si>
  <si>
    <t>Alvenaria de bloco cerâmico 6 furos 9x14x19 1/2vez</t>
  </si>
  <si>
    <t>m²</t>
  </si>
  <si>
    <t>servente</t>
  </si>
  <si>
    <t>h</t>
  </si>
  <si>
    <t>pedreiro</t>
  </si>
  <si>
    <t>Areia lavada tipo média</t>
  </si>
  <si>
    <t>m³</t>
  </si>
  <si>
    <t>Cimento Portland CP II-E-32 (resistência: 32,00 MPa)</t>
  </si>
  <si>
    <t>kg</t>
  </si>
  <si>
    <t>Bloco cerâmico furado de vedação 9x14x19</t>
  </si>
  <si>
    <t>unid</t>
  </si>
  <si>
    <t>Piso cimentado com argamassa de cimento e areia sem peneirar, traço 1:4,  e = 1,5 cm</t>
  </si>
  <si>
    <t>Reboco para parede interna ou externa, com argamassa de cimento e areia, 1:5 e=20mm</t>
  </si>
  <si>
    <t>Emboço para parede interna ou externa, com argamassa de cimento e areia, 1:4 e=20mm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</si>
</sst>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0" fillId="2" borderId="0" xfId="0" applyFont="1" applyFill="1" applyBorder="1" applyAlignment="1">
      <alignment wrapText="1"/>
    </xf>
    <xf numFmtId="0" fontId="0" fillId="3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A05E-4043-44BC-9347-B20B6942CAAE}">
  <dimension ref="A1:DE5"/>
  <sheetViews>
    <sheetView workbookViewId="0">
      <selection activeCell="A6" sqref="A6"/>
    </sheetView>
  </sheetViews>
  <sheetFormatPr defaultRowHeight="15"/>
  <cols>
    <col min="1" max="1" width="78.42578125" style="2" bestFit="1" customWidth="1"/>
    <col min="2" max="2" width="10.28515625" style="2" bestFit="1" customWidth="1"/>
    <col min="3" max="3" width="21.28515625" style="2" bestFit="1" customWidth="1"/>
    <col min="4" max="4" width="21.28515625" style="2" customWidth="1"/>
    <col min="5" max="5" width="7" style="2" bestFit="1" customWidth="1"/>
    <col min="6" max="6" width="10.85546875" style="2" bestFit="1" customWidth="1"/>
    <col min="7" max="7" width="16" style="2" bestFit="1" customWidth="1"/>
    <col min="8" max="8" width="10.5703125" style="2" bestFit="1" customWidth="1"/>
    <col min="9" max="9" width="10.5703125" style="2" customWidth="1"/>
    <col min="10" max="10" width="7" style="2" bestFit="1" customWidth="1"/>
    <col min="11" max="11" width="14.140625" style="2" bestFit="1" customWidth="1"/>
    <col min="12" max="12" width="16" style="2" bestFit="1" customWidth="1"/>
    <col min="13" max="13" width="10.5703125" style="2" bestFit="1" customWidth="1"/>
    <col min="14" max="14" width="10.5703125" style="2" customWidth="1"/>
    <col min="15" max="15" width="7" style="2" bestFit="1" customWidth="1"/>
    <col min="16" max="16" width="14.140625" style="2" bestFit="1" customWidth="1"/>
    <col min="17" max="17" width="16" style="2" bestFit="1" customWidth="1"/>
    <col min="18" max="18" width="10.5703125" style="2" bestFit="1" customWidth="1"/>
    <col min="19" max="19" width="10.5703125" style="2" customWidth="1"/>
    <col min="20" max="20" width="7" style="2" bestFit="1" customWidth="1"/>
    <col min="21" max="21" width="14.140625" style="2" bestFit="1" customWidth="1"/>
    <col min="22" max="22" width="16" style="2" bestFit="1" customWidth="1"/>
    <col min="23" max="23" width="10.5703125" style="2" bestFit="1" customWidth="1"/>
    <col min="24" max="24" width="10.5703125" style="2" customWidth="1"/>
    <col min="25" max="25" width="7" style="2" bestFit="1" customWidth="1"/>
    <col min="26" max="26" width="14.140625" style="2" bestFit="1" customWidth="1"/>
    <col min="27" max="27" width="16" style="2" bestFit="1" customWidth="1"/>
    <col min="28" max="28" width="10.5703125" style="2" bestFit="1" customWidth="1"/>
    <col min="29" max="29" width="10.5703125" style="2" customWidth="1"/>
    <col min="30" max="30" width="7" style="2" bestFit="1" customWidth="1"/>
    <col min="31" max="31" width="14.140625" style="2" bestFit="1" customWidth="1"/>
    <col min="32" max="32" width="16" style="2" bestFit="1" customWidth="1"/>
    <col min="33" max="33" width="21.28515625" style="2" bestFit="1" customWidth="1"/>
    <col min="34" max="34" width="13.5703125" style="2" bestFit="1" customWidth="1"/>
    <col min="35" max="35" width="19.28515625" style="2" bestFit="1" customWidth="1"/>
    <col min="36" max="36" width="20.85546875" style="2" bestFit="1" customWidth="1"/>
    <col min="37" max="37" width="21.42578125" style="2" bestFit="1" customWidth="1"/>
    <col min="38" max="38" width="26.140625" style="2" customWidth="1"/>
    <col min="39" max="39" width="13.5703125" style="2" bestFit="1" customWidth="1"/>
    <col min="40" max="40" width="19.28515625" style="2" bestFit="1" customWidth="1"/>
    <col min="41" max="41" width="20.85546875" style="2" bestFit="1" customWidth="1"/>
    <col min="42" max="42" width="21.42578125" style="2" bestFit="1" customWidth="1"/>
    <col min="43" max="43" width="16.42578125" style="2" bestFit="1" customWidth="1"/>
    <col min="44" max="44" width="13.5703125" style="2" bestFit="1" customWidth="1"/>
    <col min="45" max="45" width="19.28515625" style="2" bestFit="1" customWidth="1"/>
    <col min="46" max="46" width="20.85546875" style="2" bestFit="1" customWidth="1"/>
    <col min="47" max="47" width="21.42578125" style="2" bestFit="1" customWidth="1"/>
    <col min="48" max="74" width="9.140625" style="2"/>
    <col min="75" max="75" width="20" style="2" customWidth="1"/>
    <col min="76" max="16384" width="9.140625" style="2"/>
  </cols>
  <sheetData>
    <row r="1" spans="1:109" ht="45.7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35</v>
      </c>
      <c r="CY1" s="5" t="s">
        <v>100</v>
      </c>
      <c r="CZ1" s="5" t="s">
        <v>101</v>
      </c>
      <c r="DA1" s="5" t="s">
        <v>102</v>
      </c>
      <c r="DB1" s="5" t="s">
        <v>103</v>
      </c>
      <c r="DC1" s="5" t="s">
        <v>104</v>
      </c>
      <c r="DD1" s="5" t="s">
        <v>105</v>
      </c>
      <c r="DE1" s="2" t="s">
        <v>106</v>
      </c>
    </row>
    <row r="2" spans="1:109" ht="45.75">
      <c r="A2" s="1" t="s">
        <v>107</v>
      </c>
      <c r="B2" s="1" t="s">
        <v>108</v>
      </c>
      <c r="C2" s="1" t="s">
        <v>109</v>
      </c>
      <c r="D2" s="1" t="s">
        <v>110</v>
      </c>
      <c r="E2" s="2">
        <v>1.1100000000000001</v>
      </c>
      <c r="F2" s="3">
        <v>7.14</v>
      </c>
      <c r="G2" s="3">
        <f>E2*F2</f>
        <v>7.9254000000000007</v>
      </c>
      <c r="H2" s="2" t="s">
        <v>111</v>
      </c>
      <c r="I2" s="2" t="s">
        <v>110</v>
      </c>
      <c r="J2" s="2">
        <v>1</v>
      </c>
      <c r="K2" s="3">
        <v>10</v>
      </c>
      <c r="L2" s="3">
        <f>K2*J2</f>
        <v>10</v>
      </c>
      <c r="M2" s="2" t="s">
        <v>111</v>
      </c>
      <c r="N2" s="2" t="s">
        <v>110</v>
      </c>
      <c r="O2" s="2">
        <v>1</v>
      </c>
      <c r="P2" s="3">
        <v>10</v>
      </c>
      <c r="Q2" s="3">
        <f>P2*O2</f>
        <v>10</v>
      </c>
      <c r="R2" s="2" t="s">
        <v>111</v>
      </c>
      <c r="S2" s="2" t="s">
        <v>110</v>
      </c>
      <c r="T2" s="2">
        <v>1</v>
      </c>
      <c r="U2" s="3">
        <v>10</v>
      </c>
      <c r="V2" s="3">
        <f>U2*T2</f>
        <v>10</v>
      </c>
      <c r="W2" s="2" t="s">
        <v>111</v>
      </c>
      <c r="X2" s="2" t="s">
        <v>110</v>
      </c>
      <c r="Y2" s="2">
        <v>1</v>
      </c>
      <c r="Z2" s="3">
        <v>10</v>
      </c>
      <c r="AA2" s="3">
        <f>Z2*Y2</f>
        <v>10</v>
      </c>
      <c r="AB2" s="2" t="s">
        <v>111</v>
      </c>
      <c r="AC2" s="2" t="s">
        <v>110</v>
      </c>
      <c r="AD2" s="2">
        <v>1</v>
      </c>
      <c r="AE2" s="3">
        <v>10</v>
      </c>
      <c r="AF2" s="3">
        <f>AE2*AD2</f>
        <v>10</v>
      </c>
      <c r="AG2" s="2" t="s">
        <v>112</v>
      </c>
      <c r="AH2" s="2" t="s">
        <v>113</v>
      </c>
      <c r="AI2" s="2">
        <v>1.34E-2</v>
      </c>
      <c r="AJ2" s="3">
        <v>60</v>
      </c>
      <c r="AK2" s="3">
        <f>AI2*AJ2</f>
        <v>0.80400000000000005</v>
      </c>
      <c r="AL2" s="2" t="s">
        <v>114</v>
      </c>
      <c r="AM2" s="2" t="s">
        <v>115</v>
      </c>
      <c r="AN2" s="2">
        <v>3.2</v>
      </c>
      <c r="AO2" s="3">
        <v>0.55000000000000004</v>
      </c>
      <c r="AP2" s="3">
        <f>AO2*AN2</f>
        <v>1.7600000000000002</v>
      </c>
      <c r="AQ2" s="2" t="s">
        <v>116</v>
      </c>
      <c r="AR2" s="2" t="s">
        <v>117</v>
      </c>
      <c r="AS2" s="2">
        <v>34</v>
      </c>
      <c r="AT2" s="3">
        <v>0.31</v>
      </c>
      <c r="AU2" s="3">
        <f>AT2*AS2</f>
        <v>10.54</v>
      </c>
      <c r="DE2" s="3">
        <v>58.39</v>
      </c>
    </row>
    <row r="3" spans="1:109" ht="30.75">
      <c r="A3" s="2" t="s">
        <v>118</v>
      </c>
      <c r="B3" s="2" t="s">
        <v>108</v>
      </c>
      <c r="C3" s="2" t="s">
        <v>109</v>
      </c>
      <c r="D3" s="2" t="s">
        <v>110</v>
      </c>
      <c r="E3" s="2">
        <v>1.1499999999999999</v>
      </c>
      <c r="F3" s="3">
        <v>7.14</v>
      </c>
      <c r="G3" s="3">
        <f t="shared" ref="G3:G5" si="0">E3*F3</f>
        <v>8.2109999999999985</v>
      </c>
      <c r="H3" s="2" t="s">
        <v>111</v>
      </c>
      <c r="I3" s="2" t="s">
        <v>110</v>
      </c>
      <c r="J3" s="2">
        <v>1</v>
      </c>
      <c r="K3" s="3">
        <v>10</v>
      </c>
      <c r="L3" s="3">
        <f t="shared" ref="L3:L5" si="1">K3*J3</f>
        <v>10</v>
      </c>
      <c r="M3" s="2" t="s">
        <v>111</v>
      </c>
      <c r="N3" s="2" t="s">
        <v>110</v>
      </c>
      <c r="O3" s="2">
        <v>1</v>
      </c>
      <c r="P3" s="3">
        <v>10</v>
      </c>
      <c r="Q3" s="3">
        <f t="shared" ref="Q3:Q5" si="2">P3*O3</f>
        <v>10</v>
      </c>
      <c r="R3" s="2" t="s">
        <v>111</v>
      </c>
      <c r="S3" s="2" t="s">
        <v>110</v>
      </c>
      <c r="T3" s="2">
        <v>1</v>
      </c>
      <c r="U3" s="3">
        <v>10</v>
      </c>
      <c r="V3" s="3">
        <f t="shared" ref="V3:V5" si="3">U3*T3</f>
        <v>10</v>
      </c>
      <c r="W3" s="2" t="s">
        <v>111</v>
      </c>
      <c r="X3" s="2" t="s">
        <v>110</v>
      </c>
      <c r="Y3" s="2">
        <v>1</v>
      </c>
      <c r="Z3" s="3">
        <v>10</v>
      </c>
      <c r="AA3" s="3">
        <f t="shared" ref="AA3:AA5" si="4">Z3*Y3</f>
        <v>10</v>
      </c>
      <c r="AB3" s="2" t="s">
        <v>111</v>
      </c>
      <c r="AC3" s="2" t="s">
        <v>110</v>
      </c>
      <c r="AD3" s="2">
        <v>1</v>
      </c>
      <c r="AE3" s="3">
        <v>10</v>
      </c>
      <c r="AF3" s="3">
        <f t="shared" ref="AF3:AF5" si="5">AE3*AD3</f>
        <v>10</v>
      </c>
      <c r="AG3" s="2" t="s">
        <v>112</v>
      </c>
      <c r="AH3" s="2" t="s">
        <v>113</v>
      </c>
      <c r="AI3" s="2">
        <v>1.83E-2</v>
      </c>
      <c r="AJ3" s="3">
        <v>60</v>
      </c>
      <c r="AK3" s="3">
        <f t="shared" ref="AK3:AK5" si="6">AI3*AJ3</f>
        <v>1.0980000000000001</v>
      </c>
      <c r="AL3" s="2" t="s">
        <v>114</v>
      </c>
      <c r="AM3" s="2" t="s">
        <v>115</v>
      </c>
      <c r="AN3" s="2">
        <v>5.4749999999999996</v>
      </c>
      <c r="AO3" s="3">
        <v>0.55000000000000004</v>
      </c>
      <c r="AP3" s="3">
        <f t="shared" ref="AP3:AP5" si="7">AO3*AN3</f>
        <v>3.01125</v>
      </c>
      <c r="DE3" s="3">
        <v>47.82</v>
      </c>
    </row>
    <row r="4" spans="1:109" ht="30.75">
      <c r="A4" s="2" t="s">
        <v>119</v>
      </c>
      <c r="B4" s="2" t="s">
        <v>108</v>
      </c>
      <c r="C4" s="2" t="s">
        <v>109</v>
      </c>
      <c r="D4" s="2" t="s">
        <v>110</v>
      </c>
      <c r="E4" s="2">
        <v>0.74</v>
      </c>
      <c r="F4" s="3">
        <v>7.14</v>
      </c>
      <c r="G4" s="3">
        <f t="shared" si="0"/>
        <v>5.2835999999999999</v>
      </c>
      <c r="H4" s="2" t="s">
        <v>111</v>
      </c>
      <c r="I4" s="2" t="s">
        <v>110</v>
      </c>
      <c r="J4" s="2">
        <v>0.74</v>
      </c>
      <c r="K4" s="3">
        <v>10</v>
      </c>
      <c r="L4" s="3">
        <f t="shared" si="1"/>
        <v>7.4</v>
      </c>
      <c r="M4" s="2" t="s">
        <v>111</v>
      </c>
      <c r="N4" s="2" t="s">
        <v>110</v>
      </c>
      <c r="O4" s="2">
        <v>0.74</v>
      </c>
      <c r="P4" s="3">
        <v>10</v>
      </c>
      <c r="Q4" s="3">
        <f t="shared" si="2"/>
        <v>7.4</v>
      </c>
      <c r="R4" s="2" t="s">
        <v>111</v>
      </c>
      <c r="S4" s="2" t="s">
        <v>110</v>
      </c>
      <c r="T4" s="2">
        <v>0.74</v>
      </c>
      <c r="U4" s="3">
        <v>10</v>
      </c>
      <c r="V4" s="3">
        <f t="shared" si="3"/>
        <v>7.4</v>
      </c>
      <c r="W4" s="2" t="s">
        <v>111</v>
      </c>
      <c r="X4" s="2" t="s">
        <v>110</v>
      </c>
      <c r="Y4" s="2">
        <v>0.74</v>
      </c>
      <c r="Z4" s="3">
        <v>10</v>
      </c>
      <c r="AA4" s="3">
        <f t="shared" si="4"/>
        <v>7.4</v>
      </c>
      <c r="AB4" s="2" t="s">
        <v>111</v>
      </c>
      <c r="AC4" s="2" t="s">
        <v>110</v>
      </c>
      <c r="AD4" s="2">
        <v>0.74</v>
      </c>
      <c r="AE4" s="3">
        <v>10</v>
      </c>
      <c r="AF4" s="3">
        <f t="shared" si="5"/>
        <v>7.4</v>
      </c>
      <c r="AG4" s="2" t="s">
        <v>112</v>
      </c>
      <c r="AH4" s="2" t="s">
        <v>113</v>
      </c>
      <c r="AI4" s="2">
        <v>2.4309999999999998E-2</v>
      </c>
      <c r="AJ4" s="3">
        <v>60</v>
      </c>
      <c r="AK4" s="3">
        <f t="shared" si="6"/>
        <v>1.4585999999999999</v>
      </c>
      <c r="AL4" s="2" t="s">
        <v>114</v>
      </c>
      <c r="AM4" s="2" t="s">
        <v>115</v>
      </c>
      <c r="AN4" s="2">
        <v>9.7200000000000006</v>
      </c>
      <c r="AO4" s="3">
        <v>0.55000000000000004</v>
      </c>
      <c r="AP4" s="3">
        <f t="shared" si="7"/>
        <v>5.346000000000001</v>
      </c>
      <c r="DE4" s="3">
        <v>34.630000000000003</v>
      </c>
    </row>
    <row r="5" spans="1:109" ht="30.75">
      <c r="A5" s="2" t="s">
        <v>120</v>
      </c>
      <c r="B5" s="2" t="s">
        <v>108</v>
      </c>
      <c r="C5" s="2" t="s">
        <v>109</v>
      </c>
      <c r="D5" s="2" t="s">
        <v>110</v>
      </c>
      <c r="E5" s="2">
        <v>0.74</v>
      </c>
      <c r="F5" s="3">
        <v>7.14</v>
      </c>
      <c r="G5" s="3">
        <f t="shared" si="0"/>
        <v>5.2835999999999999</v>
      </c>
      <c r="H5" s="2" t="s">
        <v>111</v>
      </c>
      <c r="I5" s="2" t="s">
        <v>110</v>
      </c>
      <c r="J5" s="2">
        <v>0.74</v>
      </c>
      <c r="K5" s="3">
        <v>10</v>
      </c>
      <c r="L5" s="3">
        <f t="shared" si="1"/>
        <v>7.4</v>
      </c>
      <c r="M5" s="2" t="s">
        <v>111</v>
      </c>
      <c r="N5" s="2" t="s">
        <v>110</v>
      </c>
      <c r="O5" s="2">
        <v>0.74</v>
      </c>
      <c r="P5" s="3">
        <v>10</v>
      </c>
      <c r="Q5" s="3">
        <f t="shared" si="2"/>
        <v>7.4</v>
      </c>
      <c r="R5" s="2" t="s">
        <v>111</v>
      </c>
      <c r="S5" s="2" t="s">
        <v>110</v>
      </c>
      <c r="T5" s="2">
        <v>0.74</v>
      </c>
      <c r="U5" s="3">
        <v>10</v>
      </c>
      <c r="V5" s="3">
        <f t="shared" si="3"/>
        <v>7.4</v>
      </c>
      <c r="W5" s="2" t="s">
        <v>111</v>
      </c>
      <c r="X5" s="2" t="s">
        <v>110</v>
      </c>
      <c r="Y5" s="2">
        <v>0.74</v>
      </c>
      <c r="Z5" s="3">
        <v>10</v>
      </c>
      <c r="AA5" s="3">
        <f t="shared" si="4"/>
        <v>7.4</v>
      </c>
      <c r="AB5" s="2" t="s">
        <v>111</v>
      </c>
      <c r="AC5" s="2" t="s">
        <v>110</v>
      </c>
      <c r="AD5" s="2">
        <v>0.74</v>
      </c>
      <c r="AE5" s="3">
        <v>10</v>
      </c>
      <c r="AF5" s="3">
        <f t="shared" si="5"/>
        <v>7.4</v>
      </c>
      <c r="AG5" s="2" t="s">
        <v>112</v>
      </c>
      <c r="AH5" s="2" t="s">
        <v>113</v>
      </c>
      <c r="AI5" s="2">
        <v>2.4400000000000002E-2</v>
      </c>
      <c r="AJ5" s="3">
        <v>60</v>
      </c>
      <c r="AK5" s="3">
        <f t="shared" si="6"/>
        <v>1.4640000000000002</v>
      </c>
      <c r="AL5" s="2" t="s">
        <v>114</v>
      </c>
      <c r="AM5" s="2" t="s">
        <v>115</v>
      </c>
      <c r="AN5" s="2">
        <v>5.84</v>
      </c>
      <c r="AO5" s="3">
        <v>0.55000000000000004</v>
      </c>
      <c r="AP5" s="3">
        <f t="shared" si="7"/>
        <v>3.2120000000000002</v>
      </c>
      <c r="DE5" s="3">
        <v>38.229999999999997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C634-02F9-49B4-84EB-6E1B161523ED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MOACYR</dc:creator>
  <cp:keywords/>
  <dc:description/>
  <cp:lastModifiedBy>Pedro Leal</cp:lastModifiedBy>
  <cp:revision/>
  <dcterms:created xsi:type="dcterms:W3CDTF">2011-03-19T19:27:05Z</dcterms:created>
  <dcterms:modified xsi:type="dcterms:W3CDTF">2026-03-29T07:47:11Z</dcterms:modified>
  <cp:category/>
  <cp:contentStatus/>
</cp:coreProperties>
</file>